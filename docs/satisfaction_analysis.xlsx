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ใช้" sheetId="1" state="visible" r:id="rId1"/>
    <sheet name="ข้อมูลดิบ" sheetId="2" state="visible" r:id="rId2"/>
    <sheet name="ผลรายข้อ" sheetId="3" state="visible" r:id="rId3"/>
    <sheet name="ผลรายด้าน" sheetId="4" state="visible" r:id="rId4"/>
    <sheet name="Cronbach" sheetId="5" state="visible" r:id="rId5"/>
    <sheet name="I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000000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SCI Advisor</author>
  </authors>
  <commentList>
    <comment ref="B2" authorId="0" shapeId="0">
      <text>
        <t>ระบบตอบคำถามเกี่ยวกับหลักสูตรได้ตรงกับสิ่งที่ท่านถาม</t>
      </text>
    </comment>
    <comment ref="C2" authorId="0" shapeId="0">
      <text>
        <t>ข้อมูลที่ระบบตอบมีความถูกต้องและน่าเชื่อถือ</t>
      </text>
    </comment>
    <comment ref="D2" authorId="0" shapeId="0">
      <text>
        <t>ระบบแสดงที่มาของคำตอบ (ชื่อเอกสารและเลขหน้า) ทำให้มั่นใจในข้อมูลมากขึ้น</t>
      </text>
    </comment>
    <comment ref="E2" authorId="0" shapeId="0">
      <text>
        <t>ระบบสนทนาต่อเนื่องได้ โดยจดจำเรื่องที่สนทนาก่อนหน้า</t>
      </text>
    </comment>
    <comment ref="F2" authorId="0" shapeId="0">
      <text>
        <t>ผลการแนะนำสาขาสอดคล้องกับความสนใจและความถนัดที่ระบุ</t>
      </text>
    </comment>
    <comment ref="G2" authorId="0" shapeId="0">
      <text>
        <t>ฟังก์ชันเปรียบเทียบสาขาช่วยให้เห็นความแตกต่างได้ชัดเจน</t>
      </text>
    </comment>
    <comment ref="H2" authorId="0" shapeId="0">
      <text>
        <t>หน้าจอของระบบใช้งานง่าย ไม่ซับซ้อน</t>
      </text>
    </comment>
    <comment ref="I2" authorId="0" shapeId="0">
      <text>
        <t>การจัดวางเมนูและปุ่มเข้าใจง่าย หาสิ่งที่ต้องการได้รวดเร็ว</t>
      </text>
    </comment>
    <comment ref="J2" authorId="0" shapeId="0">
      <text>
        <t>ขนาดตัวอักษร สี และภาพประกอบ อ่านง่ายและสบายตา</t>
      </text>
    </comment>
    <comment ref="K2" authorId="0" shapeId="0">
      <text>
        <t>ระบบตอบสนองรวดเร็ว ไม่ต้องรอนาน</t>
      </text>
    </comment>
    <comment ref="L2" authorId="0" shapeId="0">
      <text>
        <t>ใช้งานระบบได้ด้วยตนเองโดยไม่ต้องมีผู้แนะนำ</t>
      </text>
    </comment>
    <comment ref="M2" authorId="0" shapeId="0">
      <text>
        <t>เข้าถึงข้อมูลหลักสูตรได้สะดวกกว่าการค้นหาด้วยวิธีเดิม</t>
      </text>
    </comment>
    <comment ref="N2" authorId="0" shapeId="0">
      <text>
        <t>ช่วยลดเวลาในการหาข้อมูลเพื่อตัดสินใจเลือกสาขา</t>
      </text>
    </comment>
    <comment ref="O2" authorId="0" shapeId="0">
      <text>
        <t>ข้อมูลที่ได้รับช่วยให้เข้าใจหลักสูตรของคณะมากขึ้น</t>
      </text>
    </comment>
    <comment ref="P2" authorId="0" shapeId="0">
      <text>
        <t>จะแนะนำระบบนี้ให้ผู้อื่นที่กำลังเลือกสาขาใช้งาน</t>
      </text>
    </comment>
    <comment ref="Q2" authorId="0" shapeId="0">
      <text>
        <t>โดยภาพรวม พึงพอใจต่อระบบ SCI Advisor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B1" s="1" t="inlineStr">
        <is>
          <t>ไฟล์คำนวณสถิติ — แบบประเมินความพึงพอใจระบบ SCI Advisor</t>
        </is>
      </c>
    </row>
    <row r="2">
      <c r="B2" s="2" t="inlineStr"/>
    </row>
    <row r="3">
      <c r="B3" s="3" t="inlineStr">
        <is>
          <t>ไฟล์นี้ใช้ทำอะไร</t>
        </is>
      </c>
    </row>
    <row r="4">
      <c r="B4" s="2" t="inlineStr">
        <is>
          <t>คำนวณค่าเฉลี่ย ส่วนเบี่ยงเบนมาตรฐาน การแปลผล และค่าความเชื่อมั่น Cronbach's Alpha</t>
        </is>
      </c>
    </row>
    <row r="5">
      <c r="B5" s="2" t="inlineStr">
        <is>
          <t>จากคำตอบแบบสอบถามความพึงพอใจ 16 ข้อ (มาตราประมาณค่า 5 ระดับ) โดยอัตโนมัติ</t>
        </is>
      </c>
    </row>
    <row r="6">
      <c r="B6" s="2" t="inlineStr"/>
    </row>
    <row r="7">
      <c r="B7" s="3" t="inlineStr">
        <is>
          <t>ต้องกรอกอะไรบ้าง — กรอกเฉพาะช่องพื้นสีเหลืองเท่านั้น</t>
        </is>
      </c>
    </row>
    <row r="8">
      <c r="B8" s="2" t="inlineStr">
        <is>
          <t>แท็บ ข้อมูลดิบ : วางคำตอบ 16 ข้อ เริ่มที่เซลล์ B3 (แถวละ 1 คน) รองรับสูงสุด 60 คน</t>
        </is>
      </c>
    </row>
    <row r="9">
      <c r="B9" s="2" t="inlineStr">
        <is>
          <t>แท็บ IOC : กรอกคะแนนผู้เชี่ยวชาญ 3 ท่าน (+1 / 0 / -1) ในช่อง C ถึง E</t>
        </is>
      </c>
    </row>
    <row r="10">
      <c r="B10" s="2" t="inlineStr"/>
    </row>
    <row r="11">
      <c r="B11" s="3" t="inlineStr">
        <is>
          <t>ผลลัพธ์อยู่ที่ไหน</t>
        </is>
      </c>
    </row>
    <row r="12">
      <c r="B12" s="2" t="inlineStr">
        <is>
          <t>แท็บ ผลรายข้อ : ค่าเฉลี่ยและ S.D. รายข้อทั้ง 16 ข้อ พร้อมการแปลผล ใช้ในบทที่ 4</t>
        </is>
      </c>
    </row>
    <row r="13">
      <c r="B13" s="2" t="inlineStr">
        <is>
          <t>แท็บ ผลรายด้าน : ค่าเฉลี่ยรวมรายด้านและภาพรวม ใช้ในบทที่ 4 ตารางสรุป</t>
        </is>
      </c>
    </row>
    <row r="14">
      <c r="B14" s="2" t="inlineStr">
        <is>
          <t>แท็บ Cronbach : ค่าความเชื่อมั่นของแบบสอบถามทั้งฉบับ</t>
        </is>
      </c>
    </row>
    <row r="15">
      <c r="B15" s="2" t="inlineStr">
        <is>
          <t>แท็บ IOC : ค่าดัชนีความสอดคล้องรายข้อ ใช้ในบทที่ 4 และภาคผนวก ข</t>
        </is>
      </c>
    </row>
    <row r="16">
      <c r="B16" s="2" t="inlineStr"/>
    </row>
    <row r="17">
      <c r="B17" s="3" t="inlineStr">
        <is>
          <t>วิธีนำคำตอบจาก Google Form เข้ามา</t>
        </is>
      </c>
    </row>
    <row r="18">
      <c r="B18" s="2" t="inlineStr">
        <is>
          <t>1. ในฟอร์ม เลือกแท็บ Responses แล้วกดไอคอน Google Sheets สีเขียว</t>
        </is>
      </c>
    </row>
    <row r="19">
      <c r="B19" s="2" t="inlineStr">
        <is>
          <t>2. ในชีตคำตอบ เลือกเฉพาะคอลัมน์ของคำถาม 16 ข้อ (ไม่เอา Timestamp และข้อมูลทั่วไป)</t>
        </is>
      </c>
    </row>
    <row r="20">
      <c r="B20" s="2" t="inlineStr">
        <is>
          <t>3. คัดลอกแล้ววางลงแท็บ ข้อมูลดิบ ที่เซลล์ B3</t>
        </is>
      </c>
    </row>
    <row r="21">
      <c r="B21" s="2" t="inlineStr">
        <is>
          <t>4. ตัวเลขทุกแท็บจะคำนวณใหม่ให้เองทันที</t>
        </is>
      </c>
    </row>
    <row r="22">
      <c r="B22" s="2" t="inlineStr"/>
    </row>
    <row r="23">
      <c r="B23" s="3" t="inlineStr">
        <is>
          <t>เกณฑ์ที่ใช้</t>
        </is>
      </c>
    </row>
    <row r="24">
      <c r="B24" s="2" t="inlineStr">
        <is>
          <t>แปลผลค่าเฉลี่ย : 4.51-5.00 มากที่สุด | 3.51-4.50 มาก | 2.51-3.50 ปานกลาง | 1.51-2.50 น้อย | 1.00-1.50 น้อยที่สุด</t>
        </is>
      </c>
    </row>
    <row r="25">
      <c r="B25" s="2" t="inlineStr">
        <is>
          <t>Cronbach's Alpha : ตั้งแต่ 0.70 ขึ้นไปถือว่ายอมรับได้ (0.80 ขึ้นไป = ดี, 0.90 ขึ้นไป = ดีมาก)</t>
        </is>
      </c>
    </row>
    <row r="26">
      <c r="B26" s="2" t="inlineStr">
        <is>
          <t>IOC : ตั้งแต่ 0.50 ถึง 1.00 ถือว่าข้อคำถามมีความตรงเชิงเนื้อหา</t>
        </is>
      </c>
    </row>
    <row r="27">
      <c r="B27" s="2" t="inlineStr"/>
    </row>
    <row r="28">
      <c r="B28" s="4" t="inlineStr">
        <is>
          <t>ข้อควรระวัง: รายงานค่าที่คำนวณได้ตามจริงเสมอ แม้จะต่ำกว่าเกณฑ์ ห้ามแก้ตัวเลขให้ดูดี</t>
        </is>
      </c>
    </row>
    <row r="29">
      <c r="B29" s="4" t="inlineStr">
        <is>
          <t>ถ้าค่าต่ำกว่าเกณฑ์ ให้อภิปรายสาเหตุในบทที่ 5 เช่น จำนวนผู้ตอบยังน้อย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>
      <c r="A1" s="5" t="inlineStr">
        <is>
          <t>กรอกคำตอบตรงนี้ — ช่องพื้นสีเหลือง แถวละ 1 คน ค่าที่กรอกได้คือ 1 ถึง 5 เท่านั้น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7" t="n"/>
    </row>
    <row r="2">
      <c r="A2" s="8" t="inlineStr">
        <is>
          <t>คนที่</t>
        </is>
      </c>
      <c r="B2" s="8" t="inlineStr">
        <is>
          <t>ข้อ 1</t>
        </is>
      </c>
      <c r="C2" s="8" t="inlineStr">
        <is>
          <t>ข้อ 2</t>
        </is>
      </c>
      <c r="D2" s="8" t="inlineStr">
        <is>
          <t>ข้อ 3</t>
        </is>
      </c>
      <c r="E2" s="8" t="inlineStr">
        <is>
          <t>ข้อ 4</t>
        </is>
      </c>
      <c r="F2" s="8" t="inlineStr">
        <is>
          <t>ข้อ 5</t>
        </is>
      </c>
      <c r="G2" s="8" t="inlineStr">
        <is>
          <t>ข้อ 6</t>
        </is>
      </c>
      <c r="H2" s="8" t="inlineStr">
        <is>
          <t>ข้อ 7</t>
        </is>
      </c>
      <c r="I2" s="8" t="inlineStr">
        <is>
          <t>ข้อ 8</t>
        </is>
      </c>
      <c r="J2" s="8" t="inlineStr">
        <is>
          <t>ข้อ 9</t>
        </is>
      </c>
      <c r="K2" s="8" t="inlineStr">
        <is>
          <t>ข้อ 10</t>
        </is>
      </c>
      <c r="L2" s="8" t="inlineStr">
        <is>
          <t>ข้อ 11</t>
        </is>
      </c>
      <c r="M2" s="8" t="inlineStr">
        <is>
          <t>ข้อ 12</t>
        </is>
      </c>
      <c r="N2" s="8" t="inlineStr">
        <is>
          <t>ข้อ 13</t>
        </is>
      </c>
      <c r="O2" s="8" t="inlineStr">
        <is>
          <t>ข้อ 14</t>
        </is>
      </c>
      <c r="P2" s="8" t="inlineStr">
        <is>
          <t>ข้อ 15</t>
        </is>
      </c>
      <c r="Q2" s="8" t="inlineStr">
        <is>
          <t>ข้อ 16</t>
        </is>
      </c>
      <c r="R2" s="9" t="inlineStr">
        <is>
          <t>รวม</t>
        </is>
      </c>
    </row>
    <row r="3">
      <c r="A3" s="10" t="n">
        <v>1</v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2">
        <f>IF(COUNT(B3:Q3)=0,"",SUM(B3:Q3))</f>
        <v/>
      </c>
    </row>
    <row r="4">
      <c r="A4" s="10" t="n">
        <v>2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2">
        <f>IF(COUNT(B4:Q4)=0,"",SUM(B4:Q4))</f>
        <v/>
      </c>
    </row>
    <row r="5">
      <c r="A5" s="10" t="n">
        <v>3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2">
        <f>IF(COUNT(B5:Q5)=0,"",SUM(B5:Q5))</f>
        <v/>
      </c>
    </row>
    <row r="6">
      <c r="A6" s="10" t="n">
        <v>4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2">
        <f>IF(COUNT(B6:Q6)=0,"",SUM(B6:Q6))</f>
        <v/>
      </c>
    </row>
    <row r="7">
      <c r="A7" s="10" t="n">
        <v>5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2">
        <f>IF(COUNT(B7:Q7)=0,"",SUM(B7:Q7))</f>
        <v/>
      </c>
    </row>
    <row r="8">
      <c r="A8" s="10" t="n">
        <v>6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2">
        <f>IF(COUNT(B8:Q8)=0,"",SUM(B8:Q8))</f>
        <v/>
      </c>
    </row>
    <row r="9">
      <c r="A9" s="10" t="n">
        <v>7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2">
        <f>IF(COUNT(B9:Q9)=0,"",SUM(B9:Q9))</f>
        <v/>
      </c>
    </row>
    <row r="10">
      <c r="A10" s="10" t="n">
        <v>8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2">
        <f>IF(COUNT(B10:Q10)=0,"",SUM(B10:Q10))</f>
        <v/>
      </c>
    </row>
    <row r="11">
      <c r="A11" s="10" t="n">
        <v>9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2">
        <f>IF(COUNT(B11:Q11)=0,"",SUM(B11:Q11))</f>
        <v/>
      </c>
    </row>
    <row r="12">
      <c r="A12" s="10" t="n">
        <v>10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2">
        <f>IF(COUNT(B12:Q12)=0,"",SUM(B12:Q12))</f>
        <v/>
      </c>
    </row>
    <row r="13">
      <c r="A13" s="10" t="n">
        <v>11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2">
        <f>IF(COUNT(B13:Q13)=0,"",SUM(B13:Q13))</f>
        <v/>
      </c>
    </row>
    <row r="14">
      <c r="A14" s="10" t="n">
        <v>12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2">
        <f>IF(COUNT(B14:Q14)=0,"",SUM(B14:Q14))</f>
        <v/>
      </c>
    </row>
    <row r="15">
      <c r="A15" s="10" t="n">
        <v>13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2">
        <f>IF(COUNT(B15:Q15)=0,"",SUM(B15:Q15))</f>
        <v/>
      </c>
    </row>
    <row r="16">
      <c r="A16" s="10" t="n">
        <v>14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>
        <f>IF(COUNT(B16:Q16)=0,"",SUM(B16:Q16))</f>
        <v/>
      </c>
    </row>
    <row r="17">
      <c r="A17" s="10" t="n">
        <v>15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2">
        <f>IF(COUNT(B17:Q17)=0,"",SUM(B17:Q17))</f>
        <v/>
      </c>
    </row>
    <row r="18">
      <c r="A18" s="10" t="n">
        <v>16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2">
        <f>IF(COUNT(B18:Q18)=0,"",SUM(B18:Q18))</f>
        <v/>
      </c>
    </row>
    <row r="19">
      <c r="A19" s="10" t="n">
        <v>17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2">
        <f>IF(COUNT(B19:Q19)=0,"",SUM(B19:Q19))</f>
        <v/>
      </c>
    </row>
    <row r="20">
      <c r="A20" s="10" t="n">
        <v>18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2">
        <f>IF(COUNT(B20:Q20)=0,"",SUM(B20:Q20))</f>
        <v/>
      </c>
    </row>
    <row r="21">
      <c r="A21" s="10" t="n">
        <v>19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2">
        <f>IF(COUNT(B21:Q21)=0,"",SUM(B21:Q21))</f>
        <v/>
      </c>
    </row>
    <row r="22">
      <c r="A22" s="10" t="n">
        <v>20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2">
        <f>IF(COUNT(B22:Q22)=0,"",SUM(B22:Q22))</f>
        <v/>
      </c>
    </row>
    <row r="23">
      <c r="A23" s="10" t="n">
        <v>21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2">
        <f>IF(COUNT(B23:Q23)=0,"",SUM(B23:Q23))</f>
        <v/>
      </c>
    </row>
    <row r="24">
      <c r="A24" s="10" t="n">
        <v>22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2">
        <f>IF(COUNT(B24:Q24)=0,"",SUM(B24:Q24))</f>
        <v/>
      </c>
    </row>
    <row r="25">
      <c r="A25" s="10" t="n">
        <v>23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2">
        <f>IF(COUNT(B25:Q25)=0,"",SUM(B25:Q25))</f>
        <v/>
      </c>
    </row>
    <row r="26">
      <c r="A26" s="10" t="n">
        <v>24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2">
        <f>IF(COUNT(B26:Q26)=0,"",SUM(B26:Q26))</f>
        <v/>
      </c>
    </row>
    <row r="27">
      <c r="A27" s="10" t="n">
        <v>25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2">
        <f>IF(COUNT(B27:Q27)=0,"",SUM(B27:Q27))</f>
        <v/>
      </c>
    </row>
    <row r="28">
      <c r="A28" s="10" t="n">
        <v>26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2">
        <f>IF(COUNT(B28:Q28)=0,"",SUM(B28:Q28))</f>
        <v/>
      </c>
    </row>
    <row r="29">
      <c r="A29" s="10" t="n">
        <v>27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2">
        <f>IF(COUNT(B29:Q29)=0,"",SUM(B29:Q29))</f>
        <v/>
      </c>
    </row>
    <row r="30">
      <c r="A30" s="10" t="n">
        <v>28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2">
        <f>IF(COUNT(B30:Q30)=0,"",SUM(B30:Q30))</f>
        <v/>
      </c>
    </row>
    <row r="31">
      <c r="A31" s="10" t="n">
        <v>29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2">
        <f>IF(COUNT(B31:Q31)=0,"",SUM(B31:Q31))</f>
        <v/>
      </c>
    </row>
    <row r="32">
      <c r="A32" s="10" t="n">
        <v>30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2">
        <f>IF(COUNT(B32:Q32)=0,"",SUM(B32:Q32))</f>
        <v/>
      </c>
    </row>
    <row r="33">
      <c r="A33" s="10" t="n">
        <v>31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2">
        <f>IF(COUNT(B33:Q33)=0,"",SUM(B33:Q33))</f>
        <v/>
      </c>
    </row>
    <row r="34">
      <c r="A34" s="10" t="n">
        <v>32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2">
        <f>IF(COUNT(B34:Q34)=0,"",SUM(B34:Q34))</f>
        <v/>
      </c>
    </row>
    <row r="35">
      <c r="A35" s="10" t="n">
        <v>33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2">
        <f>IF(COUNT(B35:Q35)=0,"",SUM(B35:Q35))</f>
        <v/>
      </c>
    </row>
    <row r="36">
      <c r="A36" s="10" t="n">
        <v>34</v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2">
        <f>IF(COUNT(B36:Q36)=0,"",SUM(B36:Q36))</f>
        <v/>
      </c>
    </row>
    <row r="37">
      <c r="A37" s="10" t="n">
        <v>35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2">
        <f>IF(COUNT(B37:Q37)=0,"",SUM(B37:Q37))</f>
        <v/>
      </c>
    </row>
    <row r="38">
      <c r="A38" s="10" t="n">
        <v>36</v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2">
        <f>IF(COUNT(B38:Q38)=0,"",SUM(B38:Q38))</f>
        <v/>
      </c>
    </row>
    <row r="39">
      <c r="A39" s="10" t="n">
        <v>37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2">
        <f>IF(COUNT(B39:Q39)=0,"",SUM(B39:Q39))</f>
        <v/>
      </c>
    </row>
    <row r="40">
      <c r="A40" s="10" t="n">
        <v>38</v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2">
        <f>IF(COUNT(B40:Q40)=0,"",SUM(B40:Q40))</f>
        <v/>
      </c>
    </row>
    <row r="41">
      <c r="A41" s="10" t="n">
        <v>39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2">
        <f>IF(COUNT(B41:Q41)=0,"",SUM(B41:Q41))</f>
        <v/>
      </c>
    </row>
    <row r="42">
      <c r="A42" s="10" t="n">
        <v>40</v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2">
        <f>IF(COUNT(B42:Q42)=0,"",SUM(B42:Q42))</f>
        <v/>
      </c>
    </row>
    <row r="43">
      <c r="A43" s="10" t="n">
        <v>41</v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2">
        <f>IF(COUNT(B43:Q43)=0,"",SUM(B43:Q43))</f>
        <v/>
      </c>
    </row>
    <row r="44">
      <c r="A44" s="10" t="n">
        <v>42</v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2">
        <f>IF(COUNT(B44:Q44)=0,"",SUM(B44:Q44))</f>
        <v/>
      </c>
    </row>
    <row r="45">
      <c r="A45" s="10" t="n">
        <v>43</v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2">
        <f>IF(COUNT(B45:Q45)=0,"",SUM(B45:Q45))</f>
        <v/>
      </c>
    </row>
    <row r="46">
      <c r="A46" s="10" t="n">
        <v>44</v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2">
        <f>IF(COUNT(B46:Q46)=0,"",SUM(B46:Q46))</f>
        <v/>
      </c>
    </row>
    <row r="47">
      <c r="A47" s="10" t="n">
        <v>45</v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2">
        <f>IF(COUNT(B47:Q47)=0,"",SUM(B47:Q47))</f>
        <v/>
      </c>
    </row>
    <row r="48">
      <c r="A48" s="10" t="n">
        <v>46</v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2">
        <f>IF(COUNT(B48:Q48)=0,"",SUM(B48:Q48))</f>
        <v/>
      </c>
    </row>
    <row r="49">
      <c r="A49" s="10" t="n">
        <v>47</v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2">
        <f>IF(COUNT(B49:Q49)=0,"",SUM(B49:Q49))</f>
        <v/>
      </c>
    </row>
    <row r="50">
      <c r="A50" s="10" t="n">
        <v>48</v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2">
        <f>IF(COUNT(B50:Q50)=0,"",SUM(B50:Q50))</f>
        <v/>
      </c>
    </row>
    <row r="51">
      <c r="A51" s="10" t="n">
        <v>49</v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2">
        <f>IF(COUNT(B51:Q51)=0,"",SUM(B51:Q51))</f>
        <v/>
      </c>
    </row>
    <row r="52">
      <c r="A52" s="10" t="n">
        <v>50</v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2">
        <f>IF(COUNT(B52:Q52)=0,"",SUM(B52:Q52))</f>
        <v/>
      </c>
    </row>
    <row r="53">
      <c r="A53" s="10" t="n">
        <v>51</v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2">
        <f>IF(COUNT(B53:Q53)=0,"",SUM(B53:Q53))</f>
        <v/>
      </c>
    </row>
    <row r="54">
      <c r="A54" s="10" t="n">
        <v>52</v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2">
        <f>IF(COUNT(B54:Q54)=0,"",SUM(B54:Q54))</f>
        <v/>
      </c>
    </row>
    <row r="55">
      <c r="A55" s="10" t="n">
        <v>53</v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2">
        <f>IF(COUNT(B55:Q55)=0,"",SUM(B55:Q55))</f>
        <v/>
      </c>
    </row>
    <row r="56">
      <c r="A56" s="10" t="n">
        <v>54</v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2">
        <f>IF(COUNT(B56:Q56)=0,"",SUM(B56:Q56))</f>
        <v/>
      </c>
    </row>
    <row r="57">
      <c r="A57" s="10" t="n">
        <v>55</v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2">
        <f>IF(COUNT(B57:Q57)=0,"",SUM(B57:Q57))</f>
        <v/>
      </c>
    </row>
    <row r="58">
      <c r="A58" s="10" t="n">
        <v>56</v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2">
        <f>IF(COUNT(B58:Q58)=0,"",SUM(B58:Q58))</f>
        <v/>
      </c>
    </row>
    <row r="59">
      <c r="A59" s="10" t="n">
        <v>57</v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2">
        <f>IF(COUNT(B59:Q59)=0,"",SUM(B59:Q59))</f>
        <v/>
      </c>
    </row>
    <row r="60">
      <c r="A60" s="10" t="n">
        <v>58</v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2">
        <f>IF(COUNT(B60:Q60)=0,"",SUM(B60:Q60))</f>
        <v/>
      </c>
    </row>
    <row r="61">
      <c r="A61" s="10" t="n">
        <v>59</v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2">
        <f>IF(COUNT(B61:Q61)=0,"",SUM(B61:Q61))</f>
        <v/>
      </c>
    </row>
    <row r="62">
      <c r="A62" s="10" t="n">
        <v>60</v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2">
        <f>IF(COUNT(B62:Q62)=0,"",SUM(B62:Q62))</f>
        <v/>
      </c>
    </row>
    <row r="64">
      <c r="A64" s="13" t="inlineStr">
        <is>
          <t>จำนวนผู้ตอบ (n)</t>
        </is>
      </c>
      <c r="B64" s="9">
        <f>COUNT(B3:B62)</f>
        <v/>
      </c>
    </row>
    <row r="66">
      <c r="A66" s="14" t="inlineStr">
        <is>
          <t>ตัวอย่าง</t>
        </is>
      </c>
      <c r="B66" s="2" t="inlineStr">
        <is>
          <t>ตัวอย่างการกรอก: คนที่ 1 ตอบข้อ 1 = 5, ข้อ 2 = 4, ข้อ 3 = 5 ให้พิมพ์ 5 ลงช่อง B3, 4 ลงช่อง C3, 5 ลงช่อง D3 ตามลำดับ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7" t="n"/>
    </row>
  </sheetData>
  <mergeCells count="2">
    <mergeCell ref="B66:R66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2" customWidth="1" min="3" max="3"/>
    <col width="12" customWidth="1" min="4" max="4"/>
    <col width="16" customWidth="1" min="5" max="5"/>
    <col width="10" customWidth="1" min="6" max="6"/>
  </cols>
  <sheetData>
    <row r="1">
      <c r="A1" s="15" t="inlineStr">
        <is>
          <t>ตารางที่ 4.x  ค่าเฉลี่ยและส่วนเบี่ยงเบนมาตรฐานของความพึงพอใจ จำแนกรายข้อ</t>
        </is>
      </c>
      <c r="B1" s="6" t="n"/>
      <c r="C1" s="6" t="n"/>
      <c r="D1" s="6" t="n"/>
      <c r="E1" s="6" t="n"/>
      <c r="F1" s="7" t="n"/>
    </row>
    <row r="2">
      <c r="A2" s="16" t="inlineStr">
        <is>
          <t>ข้อที่</t>
        </is>
      </c>
      <c r="B2" s="16" t="inlineStr">
        <is>
          <t>รายการประเมิน</t>
        </is>
      </c>
      <c r="C2" s="16" t="inlineStr">
        <is>
          <t>ค่าเฉลี่ย</t>
        </is>
      </c>
      <c r="D2" s="16" t="inlineStr">
        <is>
          <t>S.D.</t>
        </is>
      </c>
      <c r="E2" s="16" t="inlineStr">
        <is>
          <t>แปลผล</t>
        </is>
      </c>
      <c r="F2" s="16" t="inlineStr">
        <is>
          <t>ลำดับ</t>
        </is>
      </c>
    </row>
    <row r="3">
      <c r="A3" s="10" t="n">
        <v>1</v>
      </c>
      <c r="B3" s="17" t="inlineStr">
        <is>
          <t>ระบบตอบคำถามเกี่ยวกับหลักสูตรได้ตรงกับสิ่งที่ท่านถาม</t>
        </is>
      </c>
      <c r="C3" s="18">
        <f>IF(COUNT(ข้อมูลดิบ!B3:B62)=0,"",AVERAGE(ข้อมูลดิบ!B3:B62))</f>
        <v/>
      </c>
      <c r="D3" s="18">
        <f>IF(COUNT(ข้อมูลดิบ!B3:B62)&lt;2,"",STDEV(ข้อมูลดิบ!B3:B62))</f>
        <v/>
      </c>
      <c r="E3" s="12">
        <f>IF(C3="","",IF(C3&gt;=4.51,"มากที่สุด",IF(C3&gt;=3.51,"มาก",IF(C3&gt;=2.51,"ปานกลาง",IF(C3&gt;=1.51,"น้อย","น้อยที่สุด")))))</f>
        <v/>
      </c>
      <c r="F3" s="12">
        <f>IF(C3="","",RANK(C3,$C$3:$C$18))</f>
        <v/>
      </c>
    </row>
    <row r="4">
      <c r="A4" s="10" t="n">
        <v>2</v>
      </c>
      <c r="B4" s="17" t="inlineStr">
        <is>
          <t>ข้อมูลที่ระบบตอบมีความถูกต้องและน่าเชื่อถือ</t>
        </is>
      </c>
      <c r="C4" s="18">
        <f>IF(COUNT(ข้อมูลดิบ!C3:C62)=0,"",AVERAGE(ข้อมูลดิบ!C3:C62))</f>
        <v/>
      </c>
      <c r="D4" s="18">
        <f>IF(COUNT(ข้อมูลดิบ!C3:C62)&lt;2,"",STDEV(ข้อมูลดิบ!C3:C62))</f>
        <v/>
      </c>
      <c r="E4" s="12">
        <f>IF(C4="","",IF(C4&gt;=4.51,"มากที่สุด",IF(C4&gt;=3.51,"มาก",IF(C4&gt;=2.51,"ปานกลาง",IF(C4&gt;=1.51,"น้อย","น้อยที่สุด")))))</f>
        <v/>
      </c>
      <c r="F4" s="12">
        <f>IF(C4="","",RANK(C4,$C$3:$C$18))</f>
        <v/>
      </c>
    </row>
    <row r="5">
      <c r="A5" s="10" t="n">
        <v>3</v>
      </c>
      <c r="B5" s="17" t="inlineStr">
        <is>
          <t>ระบบแสดงที่มาของคำตอบ (ชื่อเอกสารและเลขหน้า) ทำให้มั่นใจในข้อมูลมากขึ้น</t>
        </is>
      </c>
      <c r="C5" s="18">
        <f>IF(COUNT(ข้อมูลดิบ!D3:D62)=0,"",AVERAGE(ข้อมูลดิบ!D3:D62))</f>
        <v/>
      </c>
      <c r="D5" s="18">
        <f>IF(COUNT(ข้อมูลดิบ!D3:D62)&lt;2,"",STDEV(ข้อมูลดิบ!D3:D62))</f>
        <v/>
      </c>
      <c r="E5" s="12">
        <f>IF(C5="","",IF(C5&gt;=4.51,"มากที่สุด",IF(C5&gt;=3.51,"มาก",IF(C5&gt;=2.51,"ปานกลาง",IF(C5&gt;=1.51,"น้อย","น้อยที่สุด")))))</f>
        <v/>
      </c>
      <c r="F5" s="12">
        <f>IF(C5="","",RANK(C5,$C$3:$C$18))</f>
        <v/>
      </c>
    </row>
    <row r="6">
      <c r="A6" s="10" t="n">
        <v>4</v>
      </c>
      <c r="B6" s="17" t="inlineStr">
        <is>
          <t>ระบบสนทนาต่อเนื่องได้ โดยจดจำเรื่องที่สนทนาก่อนหน้า</t>
        </is>
      </c>
      <c r="C6" s="18">
        <f>IF(COUNT(ข้อมูลดิบ!E3:E62)=0,"",AVERAGE(ข้อมูลดิบ!E3:E62))</f>
        <v/>
      </c>
      <c r="D6" s="18">
        <f>IF(COUNT(ข้อมูลดิบ!E3:E62)&lt;2,"",STDEV(ข้อมูลดิบ!E3:E62))</f>
        <v/>
      </c>
      <c r="E6" s="12">
        <f>IF(C6="","",IF(C6&gt;=4.51,"มากที่สุด",IF(C6&gt;=3.51,"มาก",IF(C6&gt;=2.51,"ปานกลาง",IF(C6&gt;=1.51,"น้อย","น้อยที่สุด")))))</f>
        <v/>
      </c>
      <c r="F6" s="12">
        <f>IF(C6="","",RANK(C6,$C$3:$C$18))</f>
        <v/>
      </c>
    </row>
    <row r="7">
      <c r="A7" s="10" t="n">
        <v>5</v>
      </c>
      <c r="B7" s="17" t="inlineStr">
        <is>
          <t>ผลการแนะนำสาขาสอดคล้องกับความสนใจและความถนัดที่ระบุ</t>
        </is>
      </c>
      <c r="C7" s="18">
        <f>IF(COUNT(ข้อมูลดิบ!F3:F62)=0,"",AVERAGE(ข้อมูลดิบ!F3:F62))</f>
        <v/>
      </c>
      <c r="D7" s="18">
        <f>IF(COUNT(ข้อมูลดิบ!F3:F62)&lt;2,"",STDEV(ข้อมูลดิบ!F3:F62))</f>
        <v/>
      </c>
      <c r="E7" s="12">
        <f>IF(C7="","",IF(C7&gt;=4.51,"มากที่สุด",IF(C7&gt;=3.51,"มาก",IF(C7&gt;=2.51,"ปานกลาง",IF(C7&gt;=1.51,"น้อย","น้อยที่สุด")))))</f>
        <v/>
      </c>
      <c r="F7" s="12">
        <f>IF(C7="","",RANK(C7,$C$3:$C$18))</f>
        <v/>
      </c>
    </row>
    <row r="8">
      <c r="A8" s="10" t="n">
        <v>6</v>
      </c>
      <c r="B8" s="17" t="inlineStr">
        <is>
          <t>ฟังก์ชันเปรียบเทียบสาขาช่วยให้เห็นความแตกต่างได้ชัดเจน</t>
        </is>
      </c>
      <c r="C8" s="18">
        <f>IF(COUNT(ข้อมูลดิบ!G3:G62)=0,"",AVERAGE(ข้อมูลดิบ!G3:G62))</f>
        <v/>
      </c>
      <c r="D8" s="18">
        <f>IF(COUNT(ข้อมูลดิบ!G3:G62)&lt;2,"",STDEV(ข้อมูลดิบ!G3:G62))</f>
        <v/>
      </c>
      <c r="E8" s="12">
        <f>IF(C8="","",IF(C8&gt;=4.51,"มากที่สุด",IF(C8&gt;=3.51,"มาก",IF(C8&gt;=2.51,"ปานกลาง",IF(C8&gt;=1.51,"น้อย","น้อยที่สุด")))))</f>
        <v/>
      </c>
      <c r="F8" s="12">
        <f>IF(C8="","",RANK(C8,$C$3:$C$18))</f>
        <v/>
      </c>
    </row>
    <row r="9">
      <c r="A9" s="10" t="n">
        <v>7</v>
      </c>
      <c r="B9" s="17" t="inlineStr">
        <is>
          <t>หน้าจอของระบบใช้งานง่าย ไม่ซับซ้อน</t>
        </is>
      </c>
      <c r="C9" s="18">
        <f>IF(COUNT(ข้อมูลดิบ!H3:H62)=0,"",AVERAGE(ข้อมูลดิบ!H3:H62))</f>
        <v/>
      </c>
      <c r="D9" s="18">
        <f>IF(COUNT(ข้อมูลดิบ!H3:H62)&lt;2,"",STDEV(ข้อมูลดิบ!H3:H62))</f>
        <v/>
      </c>
      <c r="E9" s="12">
        <f>IF(C9="","",IF(C9&gt;=4.51,"มากที่สุด",IF(C9&gt;=3.51,"มาก",IF(C9&gt;=2.51,"ปานกลาง",IF(C9&gt;=1.51,"น้อย","น้อยที่สุด")))))</f>
        <v/>
      </c>
      <c r="F9" s="12">
        <f>IF(C9="","",RANK(C9,$C$3:$C$18))</f>
        <v/>
      </c>
    </row>
    <row r="10">
      <c r="A10" s="10" t="n">
        <v>8</v>
      </c>
      <c r="B10" s="17" t="inlineStr">
        <is>
          <t>การจัดวางเมนูและปุ่มเข้าใจง่าย หาสิ่งที่ต้องการได้รวดเร็ว</t>
        </is>
      </c>
      <c r="C10" s="18">
        <f>IF(COUNT(ข้อมูลดิบ!I3:I62)=0,"",AVERAGE(ข้อมูลดิบ!I3:I62))</f>
        <v/>
      </c>
      <c r="D10" s="18">
        <f>IF(COUNT(ข้อมูลดิบ!I3:I62)&lt;2,"",STDEV(ข้อมูลดิบ!I3:I62))</f>
        <v/>
      </c>
      <c r="E10" s="12">
        <f>IF(C10="","",IF(C10&gt;=4.51,"มากที่สุด",IF(C10&gt;=3.51,"มาก",IF(C10&gt;=2.51,"ปานกลาง",IF(C10&gt;=1.51,"น้อย","น้อยที่สุด")))))</f>
        <v/>
      </c>
      <c r="F10" s="12">
        <f>IF(C10="","",RANK(C10,$C$3:$C$18))</f>
        <v/>
      </c>
    </row>
    <row r="11">
      <c r="A11" s="10" t="n">
        <v>9</v>
      </c>
      <c r="B11" s="17" t="inlineStr">
        <is>
          <t>ขนาดตัวอักษร สี และภาพประกอบ อ่านง่ายและสบายตา</t>
        </is>
      </c>
      <c r="C11" s="18">
        <f>IF(COUNT(ข้อมูลดิบ!J3:J62)=0,"",AVERAGE(ข้อมูลดิบ!J3:J62))</f>
        <v/>
      </c>
      <c r="D11" s="18">
        <f>IF(COUNT(ข้อมูลดิบ!J3:J62)&lt;2,"",STDEV(ข้อมูลดิบ!J3:J62))</f>
        <v/>
      </c>
      <c r="E11" s="12">
        <f>IF(C11="","",IF(C11&gt;=4.51,"มากที่สุด",IF(C11&gt;=3.51,"มาก",IF(C11&gt;=2.51,"ปานกลาง",IF(C11&gt;=1.51,"น้อย","น้อยที่สุด")))))</f>
        <v/>
      </c>
      <c r="F11" s="12">
        <f>IF(C11="","",RANK(C11,$C$3:$C$18))</f>
        <v/>
      </c>
    </row>
    <row r="12">
      <c r="A12" s="10" t="n">
        <v>10</v>
      </c>
      <c r="B12" s="17" t="inlineStr">
        <is>
          <t>ระบบตอบสนองรวดเร็ว ไม่ต้องรอนาน</t>
        </is>
      </c>
      <c r="C12" s="18">
        <f>IF(COUNT(ข้อมูลดิบ!K3:K62)=0,"",AVERAGE(ข้อมูลดิบ!K3:K62))</f>
        <v/>
      </c>
      <c r="D12" s="18">
        <f>IF(COUNT(ข้อมูลดิบ!K3:K62)&lt;2,"",STDEV(ข้อมูลดิบ!K3:K62))</f>
        <v/>
      </c>
      <c r="E12" s="12">
        <f>IF(C12="","",IF(C12&gt;=4.51,"มากที่สุด",IF(C12&gt;=3.51,"มาก",IF(C12&gt;=2.51,"ปานกลาง",IF(C12&gt;=1.51,"น้อย","น้อยที่สุด")))))</f>
        <v/>
      </c>
      <c r="F12" s="12">
        <f>IF(C12="","",RANK(C12,$C$3:$C$18))</f>
        <v/>
      </c>
    </row>
    <row r="13">
      <c r="A13" s="10" t="n">
        <v>11</v>
      </c>
      <c r="B13" s="17" t="inlineStr">
        <is>
          <t>ใช้งานระบบได้ด้วยตนเองโดยไม่ต้องมีผู้แนะนำ</t>
        </is>
      </c>
      <c r="C13" s="18">
        <f>IF(COUNT(ข้อมูลดิบ!L3:L62)=0,"",AVERAGE(ข้อมูลดิบ!L3:L62))</f>
        <v/>
      </c>
      <c r="D13" s="18">
        <f>IF(COUNT(ข้อมูลดิบ!L3:L62)&lt;2,"",STDEV(ข้อมูลดิบ!L3:L62))</f>
        <v/>
      </c>
      <c r="E13" s="12">
        <f>IF(C13="","",IF(C13&gt;=4.51,"มากที่สุด",IF(C13&gt;=3.51,"มาก",IF(C13&gt;=2.51,"ปานกลาง",IF(C13&gt;=1.51,"น้อย","น้อยที่สุด")))))</f>
        <v/>
      </c>
      <c r="F13" s="12">
        <f>IF(C13="","",RANK(C13,$C$3:$C$18))</f>
        <v/>
      </c>
    </row>
    <row r="14">
      <c r="A14" s="10" t="n">
        <v>12</v>
      </c>
      <c r="B14" s="17" t="inlineStr">
        <is>
          <t>เข้าถึงข้อมูลหลักสูตรได้สะดวกกว่าการค้นหาด้วยวิธีเดิม</t>
        </is>
      </c>
      <c r="C14" s="18">
        <f>IF(COUNT(ข้อมูลดิบ!M3:M62)=0,"",AVERAGE(ข้อมูลดิบ!M3:M62))</f>
        <v/>
      </c>
      <c r="D14" s="18">
        <f>IF(COUNT(ข้อมูลดิบ!M3:M62)&lt;2,"",STDEV(ข้อมูลดิบ!M3:M62))</f>
        <v/>
      </c>
      <c r="E14" s="12">
        <f>IF(C14="","",IF(C14&gt;=4.51,"มากที่สุด",IF(C14&gt;=3.51,"มาก",IF(C14&gt;=2.51,"ปานกลาง",IF(C14&gt;=1.51,"น้อย","น้อยที่สุด")))))</f>
        <v/>
      </c>
      <c r="F14" s="12">
        <f>IF(C14="","",RANK(C14,$C$3:$C$18))</f>
        <v/>
      </c>
    </row>
    <row r="15">
      <c r="A15" s="10" t="n">
        <v>13</v>
      </c>
      <c r="B15" s="17" t="inlineStr">
        <is>
          <t>ช่วยลดเวลาในการหาข้อมูลเพื่อตัดสินใจเลือกสาขา</t>
        </is>
      </c>
      <c r="C15" s="18">
        <f>IF(COUNT(ข้อมูลดิบ!N3:N62)=0,"",AVERAGE(ข้อมูลดิบ!N3:N62))</f>
        <v/>
      </c>
      <c r="D15" s="18">
        <f>IF(COUNT(ข้อมูลดิบ!N3:N62)&lt;2,"",STDEV(ข้อมูลดิบ!N3:N62))</f>
        <v/>
      </c>
      <c r="E15" s="12">
        <f>IF(C15="","",IF(C15&gt;=4.51,"มากที่สุด",IF(C15&gt;=3.51,"มาก",IF(C15&gt;=2.51,"ปานกลาง",IF(C15&gt;=1.51,"น้อย","น้อยที่สุด")))))</f>
        <v/>
      </c>
      <c r="F15" s="12">
        <f>IF(C15="","",RANK(C15,$C$3:$C$18))</f>
        <v/>
      </c>
    </row>
    <row r="16">
      <c r="A16" s="10" t="n">
        <v>14</v>
      </c>
      <c r="B16" s="17" t="inlineStr">
        <is>
          <t>ข้อมูลที่ได้รับช่วยให้เข้าใจหลักสูตรของคณะมากขึ้น</t>
        </is>
      </c>
      <c r="C16" s="18">
        <f>IF(COUNT(ข้อมูลดิบ!O3:O62)=0,"",AVERAGE(ข้อมูลดิบ!O3:O62))</f>
        <v/>
      </c>
      <c r="D16" s="18">
        <f>IF(COUNT(ข้อมูลดิบ!O3:O62)&lt;2,"",STDEV(ข้อมูลดิบ!O3:O62))</f>
        <v/>
      </c>
      <c r="E16" s="12">
        <f>IF(C16="","",IF(C16&gt;=4.51,"มากที่สุด",IF(C16&gt;=3.51,"มาก",IF(C16&gt;=2.51,"ปานกลาง",IF(C16&gt;=1.51,"น้อย","น้อยที่สุด")))))</f>
        <v/>
      </c>
      <c r="F16" s="12">
        <f>IF(C16="","",RANK(C16,$C$3:$C$18))</f>
        <v/>
      </c>
    </row>
    <row r="17">
      <c r="A17" s="10" t="n">
        <v>15</v>
      </c>
      <c r="B17" s="17" t="inlineStr">
        <is>
          <t>จะแนะนำระบบนี้ให้ผู้อื่นที่กำลังเลือกสาขาใช้งาน</t>
        </is>
      </c>
      <c r="C17" s="18">
        <f>IF(COUNT(ข้อมูลดิบ!P3:P62)=0,"",AVERAGE(ข้อมูลดิบ!P3:P62))</f>
        <v/>
      </c>
      <c r="D17" s="18">
        <f>IF(COUNT(ข้อมูลดิบ!P3:P62)&lt;2,"",STDEV(ข้อมูลดิบ!P3:P62))</f>
        <v/>
      </c>
      <c r="E17" s="12">
        <f>IF(C17="","",IF(C17&gt;=4.51,"มากที่สุด",IF(C17&gt;=3.51,"มาก",IF(C17&gt;=2.51,"ปานกลาง",IF(C17&gt;=1.51,"น้อย","น้อยที่สุด")))))</f>
        <v/>
      </c>
      <c r="F17" s="12">
        <f>IF(C17="","",RANK(C17,$C$3:$C$18))</f>
        <v/>
      </c>
    </row>
    <row r="18">
      <c r="A18" s="10" t="n">
        <v>16</v>
      </c>
      <c r="B18" s="17" t="inlineStr">
        <is>
          <t>โดยภาพรวม พึงพอใจต่อระบบ SCI Advisor</t>
        </is>
      </c>
      <c r="C18" s="18">
        <f>IF(COUNT(ข้อมูลดิบ!Q3:Q62)=0,"",AVERAGE(ข้อมูลดิบ!Q3:Q62))</f>
        <v/>
      </c>
      <c r="D18" s="18">
        <f>IF(COUNT(ข้อมูลดิบ!Q3:Q62)&lt;2,"",STDEV(ข้อมูลดิบ!Q3:Q62))</f>
        <v/>
      </c>
      <c r="E18" s="12">
        <f>IF(C18="","",IF(C18&gt;=4.51,"มากที่สุด",IF(C18&gt;=3.51,"มาก",IF(C18&gt;=2.51,"ปานกลาง",IF(C18&gt;=1.51,"น้อย","น้อยที่สุด")))))</f>
        <v/>
      </c>
      <c r="F18" s="12">
        <f>IF(C18="","",RANK(C18,$C$3:$C$18))</f>
        <v/>
      </c>
    </row>
    <row r="19">
      <c r="A19" s="19" t="inlineStr"/>
      <c r="B19" s="13" t="inlineStr">
        <is>
          <t>รวมเฉลี่ยทั้งฉบับ</t>
        </is>
      </c>
      <c r="C19" s="20">
        <f>IF(COUNT(C3:C18)=0,"",AVERAGE(C3:C18))</f>
        <v/>
      </c>
      <c r="D19" s="20">
        <f>IF(COUNT(D3:D18)=0,"",AVERAGE(D3:D18))</f>
        <v/>
      </c>
      <c r="E19" s="8">
        <f>IF(C19="","",IF(C19&gt;=4.51,"มากที่สุด",IF(C19&gt;=3.51,"มาก",IF(C19&gt;=2.51,"ปานกลาง",IF(C19&gt;=1.51,"น้อย","น้อยที่สุด")))))</f>
        <v/>
      </c>
      <c r="F19" s="1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2" customWidth="1" min="3" max="3"/>
    <col width="12" customWidth="1" min="4" max="4"/>
    <col width="16" customWidth="1" min="5" max="5"/>
  </cols>
  <sheetData>
    <row r="1">
      <c r="A1" s="15" t="inlineStr">
        <is>
          <t>ตารางที่ 4.x  ค่าเฉลี่ยและส่วนเบี่ยงเบนมาตรฐานของความพึงพอใจ จำแนกรายด้าน</t>
        </is>
      </c>
      <c r="B1" s="6" t="n"/>
      <c r="C1" s="6" t="n"/>
      <c r="D1" s="6" t="n"/>
      <c r="E1" s="7" t="n"/>
    </row>
    <row r="2">
      <c r="A2" s="16" t="inlineStr">
        <is>
          <t>ด้านที่</t>
        </is>
      </c>
      <c r="B2" s="16" t="inlineStr">
        <is>
          <t>รายการประเมิน</t>
        </is>
      </c>
      <c r="C2" s="16" t="inlineStr">
        <is>
          <t>ค่าเฉลี่ย</t>
        </is>
      </c>
      <c r="D2" s="16" t="inlineStr">
        <is>
          <t>S.D.</t>
        </is>
      </c>
      <c r="E2" s="16" t="inlineStr">
        <is>
          <t>แปลผล</t>
        </is>
      </c>
    </row>
    <row r="3">
      <c r="A3" s="10" t="n">
        <v>1</v>
      </c>
      <c r="B3" s="17" t="inlineStr">
        <is>
          <t>ด้านที่ 1 ความสามารถในการทำงานของระบบ</t>
        </is>
      </c>
      <c r="C3" s="18">
        <f>IF(COUNT(ผลรายข้อ!C3:C8)=0,"",AVERAGE(ผลรายข้อ!C3:C8))</f>
        <v/>
      </c>
      <c r="D3" s="18">
        <f>IF(COUNT(ผลรายข้อ!D3:D8)=0,"",AVERAGE(ผลรายข้อ!D3:D8))</f>
        <v/>
      </c>
      <c r="E3" s="12">
        <f>IF(C3="","",IF(C3&gt;=4.51,"มากที่สุด",IF(C3&gt;=3.51,"มาก",IF(C3&gt;=2.51,"ปานกลาง",IF(C3&gt;=1.51,"น้อย","น้อยที่สุด")))))</f>
        <v/>
      </c>
    </row>
    <row r="4">
      <c r="A4" s="10" t="n">
        <v>2</v>
      </c>
      <c r="B4" s="17" t="inlineStr">
        <is>
          <t>ด้านที่ 2 ความง่ายในการใช้งานและการออกแบบส่วนติดต่อผู้ใช้</t>
        </is>
      </c>
      <c r="C4" s="18">
        <f>IF(COUNT(ผลรายข้อ!C9:C13)=0,"",AVERAGE(ผลรายข้อ!C9:C13))</f>
        <v/>
      </c>
      <c r="D4" s="18">
        <f>IF(COUNT(ผลรายข้อ!D9:D13)=0,"",AVERAGE(ผลรายข้อ!D9:D13))</f>
        <v/>
      </c>
      <c r="E4" s="12">
        <f>IF(C4="","",IF(C4&gt;=4.51,"มากที่สุด",IF(C4&gt;=3.51,"มาก",IF(C4&gt;=2.51,"ปานกลาง",IF(C4&gt;=1.51,"น้อย","น้อยที่สุด")))))</f>
        <v/>
      </c>
    </row>
    <row r="5">
      <c r="A5" s="10" t="n">
        <v>3</v>
      </c>
      <c r="B5" s="17" t="inlineStr">
        <is>
          <t>ด้านที่ 3 ประโยชน์ที่ได้รับจากการใช้งาน</t>
        </is>
      </c>
      <c r="C5" s="18">
        <f>IF(COUNT(ผลรายข้อ!C14:C18)=0,"",AVERAGE(ผลรายข้อ!C14:C18))</f>
        <v/>
      </c>
      <c r="D5" s="18">
        <f>IF(COUNT(ผลรายข้อ!D14:D18)=0,"",AVERAGE(ผลรายข้อ!D14:D18))</f>
        <v/>
      </c>
      <c r="E5" s="12">
        <f>IF(C5="","",IF(C5&gt;=4.51,"มากที่สุด",IF(C5&gt;=3.51,"มาก",IF(C5&gt;=2.51,"ปานกลาง",IF(C5&gt;=1.51,"น้อย","น้อยที่สุด")))))</f>
        <v/>
      </c>
    </row>
    <row r="6">
      <c r="A6" s="19" t="inlineStr"/>
      <c r="B6" s="13" t="inlineStr">
        <is>
          <t>ภาพรวมทั้งฉบับ</t>
        </is>
      </c>
      <c r="C6" s="20">
        <f>IF(COUNT(C3:C5)=0,"",AVERAGE(C3:C5))</f>
        <v/>
      </c>
      <c r="D6" s="20">
        <f>IF(COUNT(D3:D5)=0,"",AVERAGE(D3:D5))</f>
        <v/>
      </c>
      <c r="E6" s="8">
        <f>IF(C6="","",IF(C6&gt;=4.51,"มากที่สุด",IF(C6&gt;=3.51,"มาก",IF(C6&gt;=2.51,"ปานกลาง",IF(C6&gt;=1.51,"น้อย","น้อยที่สุด")))))</f>
        <v/>
      </c>
    </row>
    <row r="8">
      <c r="B8" s="14" t="inlineStr">
        <is>
          <t>จำนวนผู้ตอบแบบสอบถาม (n)</t>
        </is>
      </c>
      <c r="C8" s="9">
        <f>ข้อมูลดิบ!B64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6" customWidth="1" min="4" max="4"/>
    <col width="20" customWidth="1" min="5" max="5"/>
  </cols>
  <sheetData>
    <row r="1">
      <c r="A1" s="15" t="inlineStr">
        <is>
          <t>ค่าความเชื่อมั่นของแบบสอบถาม (Cronbach's Alpha)</t>
        </is>
      </c>
      <c r="B1" s="6" t="n"/>
      <c r="C1" s="6" t="n"/>
      <c r="D1" s="6" t="n"/>
      <c r="E1" s="7" t="n"/>
    </row>
    <row r="3">
      <c r="B3" s="13" t="inlineStr">
        <is>
          <t>ความแปรปรวนรายข้อ</t>
        </is>
      </c>
      <c r="C3" s="8" t="inlineStr">
        <is>
          <t>ข้อที่</t>
        </is>
      </c>
      <c r="D3" s="8" t="inlineStr">
        <is>
          <t>ความแปรปรวน</t>
        </is>
      </c>
    </row>
    <row r="4">
      <c r="C4" s="10" t="n">
        <v>1</v>
      </c>
      <c r="D4" s="21">
        <f>IF(COUNT(ข้อมูลดิบ!B3:B62)&lt;2,"",VAR(ข้อมูลดิบ!B3:B62))</f>
        <v/>
      </c>
    </row>
    <row r="5">
      <c r="C5" s="10" t="n">
        <v>2</v>
      </c>
      <c r="D5" s="21">
        <f>IF(COUNT(ข้อมูลดิบ!C3:C62)&lt;2,"",VAR(ข้อมูลดิบ!C3:C62))</f>
        <v/>
      </c>
    </row>
    <row r="6">
      <c r="C6" s="10" t="n">
        <v>3</v>
      </c>
      <c r="D6" s="21">
        <f>IF(COUNT(ข้อมูลดิบ!D3:D62)&lt;2,"",VAR(ข้อมูลดิบ!D3:D62))</f>
        <v/>
      </c>
    </row>
    <row r="7">
      <c r="C7" s="10" t="n">
        <v>4</v>
      </c>
      <c r="D7" s="21">
        <f>IF(COUNT(ข้อมูลดิบ!E3:E62)&lt;2,"",VAR(ข้อมูลดิบ!E3:E62))</f>
        <v/>
      </c>
    </row>
    <row r="8">
      <c r="C8" s="10" t="n">
        <v>5</v>
      </c>
      <c r="D8" s="21">
        <f>IF(COUNT(ข้อมูลดิบ!F3:F62)&lt;2,"",VAR(ข้อมูลดิบ!F3:F62))</f>
        <v/>
      </c>
    </row>
    <row r="9">
      <c r="C9" s="10" t="n">
        <v>6</v>
      </c>
      <c r="D9" s="21">
        <f>IF(COUNT(ข้อมูลดิบ!G3:G62)&lt;2,"",VAR(ข้อมูลดิบ!G3:G62))</f>
        <v/>
      </c>
    </row>
    <row r="10">
      <c r="C10" s="10" t="n">
        <v>7</v>
      </c>
      <c r="D10" s="21">
        <f>IF(COUNT(ข้อมูลดิบ!H3:H62)&lt;2,"",VAR(ข้อมูลดิบ!H3:H62))</f>
        <v/>
      </c>
    </row>
    <row r="11">
      <c r="C11" s="10" t="n">
        <v>8</v>
      </c>
      <c r="D11" s="21">
        <f>IF(COUNT(ข้อมูลดิบ!I3:I62)&lt;2,"",VAR(ข้อมูลดิบ!I3:I62))</f>
        <v/>
      </c>
    </row>
    <row r="12">
      <c r="C12" s="10" t="n">
        <v>9</v>
      </c>
      <c r="D12" s="21">
        <f>IF(COUNT(ข้อมูลดิบ!J3:J62)&lt;2,"",VAR(ข้อมูลดิบ!J3:J62))</f>
        <v/>
      </c>
    </row>
    <row r="13">
      <c r="C13" s="10" t="n">
        <v>10</v>
      </c>
      <c r="D13" s="21">
        <f>IF(COUNT(ข้อมูลดิบ!K3:K62)&lt;2,"",VAR(ข้อมูลดิบ!K3:K62))</f>
        <v/>
      </c>
    </row>
    <row r="14">
      <c r="C14" s="10" t="n">
        <v>11</v>
      </c>
      <c r="D14" s="21">
        <f>IF(COUNT(ข้อมูลดิบ!L3:L62)&lt;2,"",VAR(ข้อมูลดิบ!L3:L62))</f>
        <v/>
      </c>
    </row>
    <row r="15">
      <c r="C15" s="10" t="n">
        <v>12</v>
      </c>
      <c r="D15" s="21">
        <f>IF(COUNT(ข้อมูลดิบ!M3:M62)&lt;2,"",VAR(ข้อมูลดิบ!M3:M62))</f>
        <v/>
      </c>
    </row>
    <row r="16">
      <c r="C16" s="10" t="n">
        <v>13</v>
      </c>
      <c r="D16" s="21">
        <f>IF(COUNT(ข้อมูลดิบ!N3:N62)&lt;2,"",VAR(ข้อมูลดิบ!N3:N62))</f>
        <v/>
      </c>
    </row>
    <row r="17">
      <c r="C17" s="10" t="n">
        <v>14</v>
      </c>
      <c r="D17" s="21">
        <f>IF(COUNT(ข้อมูลดิบ!O3:O62)&lt;2,"",VAR(ข้อมูลดิบ!O3:O62))</f>
        <v/>
      </c>
    </row>
    <row r="18">
      <c r="C18" s="10" t="n">
        <v>15</v>
      </c>
      <c r="D18" s="21">
        <f>IF(COUNT(ข้อมูลดิบ!P3:P62)&lt;2,"",VAR(ข้อมูลดิบ!P3:P62))</f>
        <v/>
      </c>
    </row>
    <row r="19">
      <c r="C19" s="10" t="n">
        <v>16</v>
      </c>
      <c r="D19" s="21">
        <f>IF(COUNT(ข้อมูลดิบ!Q3:Q62)&lt;2,"",VAR(ข้อมูลดิบ!Q3:Q62))</f>
        <v/>
      </c>
    </row>
    <row r="21">
      <c r="B21" s="13" t="inlineStr">
        <is>
          <t>k = จำนวนข้อคำถาม</t>
        </is>
      </c>
      <c r="D21" s="22">
        <f>COUNT(D4:D19)</f>
        <v/>
      </c>
    </row>
    <row r="22">
      <c r="B22" s="13" t="inlineStr">
        <is>
          <t>ผลรวมความแปรปรวนรายข้อ</t>
        </is>
      </c>
      <c r="D22" s="22">
        <f>IF(COUNT(D4:D19)=0,"",SUM(D4:D19))</f>
        <v/>
      </c>
    </row>
    <row r="23">
      <c r="B23" s="13" t="inlineStr">
        <is>
          <t>ความแปรปรวนของคะแนนรวม</t>
        </is>
      </c>
      <c r="D23" s="22">
        <f>IF(COUNT(ข้อมูลดิบ!R3:R62)&lt;2,"",VAR(ข้อมูลดิบ!R3:R62))</f>
        <v/>
      </c>
    </row>
    <row r="25">
      <c r="B25" s="23" t="inlineStr">
        <is>
          <t>Cronbach's Alpha</t>
        </is>
      </c>
      <c r="D25" s="24">
        <f>IF(OR(D21="",D22="",D23="",D21&lt;2,D23=0),"",(D21/(D21-1))*(1-D22/D23))</f>
        <v/>
      </c>
      <c r="E25" s="9">
        <f>IF(D25="","",IF(D25&gt;=0.9,"ดีมาก",IF(D25&gt;=0.8,"ดี",IF(D25&gt;=0.7,"ยอมรับได้","ต่ำกว่าเกณฑ์"))))</f>
        <v/>
      </c>
    </row>
    <row r="27">
      <c r="B27" s="2" t="inlineStr">
        <is>
          <t>สูตร: alpha = (k / (k-1)) x (1 - ผลรวมความแปรปรวนรายข้อ / ความแปรปรวนของคะแนนรวม)</t>
        </is>
      </c>
    </row>
    <row r="28">
      <c r="B28" s="2" t="inlineStr">
        <is>
          <t>เกณฑ์: 0.70 ขึ้นไป = ยอมรับได้ | 0.80 ขึ้นไป = ดี | 0.90 ขึ้นไป = ดีมาก</t>
        </is>
      </c>
    </row>
    <row r="29">
      <c r="B29" s="2" t="inlineStr">
        <is>
          <t>หมายเหตุ: ใช้ VAR (ความแปรปรวนของกลุ่มตัวอย่าง) ทั้งรายข้อและคะแนนรวม ตามที่นิยมใช้ในงานวิจัยทางการศึกษา</t>
        </is>
      </c>
    </row>
    <row r="30">
      <c r="B30" s="4" t="inlineStr">
        <is>
          <t>ถ้าค่าที่ได้ต่ำกว่า 0.70 ให้รายงานตามจริงพร้อมอภิปรายสาเหตุ ห้ามปรับตัวเลข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6" customWidth="1" min="8" max="8"/>
  </cols>
  <sheetData>
    <row r="1">
      <c r="A1" s="15" t="inlineStr">
        <is>
          <t>ตารางที่ 4.x  ผลการวิเคราะห์ค่าดัชนีความสอดคล้อง (IOC) ของแบบสอบถาม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16" t="inlineStr">
        <is>
          <t>ข้อที่</t>
        </is>
      </c>
      <c r="B2" s="16" t="inlineStr">
        <is>
          <t>ข้อคำถาม</t>
        </is>
      </c>
      <c r="C2" s="16" t="inlineStr">
        <is>
          <t>ผู้เชี่ยวชาญ 1</t>
        </is>
      </c>
      <c r="D2" s="16" t="inlineStr">
        <is>
          <t>ผู้เชี่ยวชาญ 2</t>
        </is>
      </c>
      <c r="E2" s="16" t="inlineStr">
        <is>
          <t>ผู้เชี่ยวชาญ 3</t>
        </is>
      </c>
      <c r="F2" s="16" t="inlineStr">
        <is>
          <t>ผลรวม</t>
        </is>
      </c>
      <c r="G2" s="16" t="inlineStr">
        <is>
          <t>IOC</t>
        </is>
      </c>
      <c r="H2" s="16" t="inlineStr">
        <is>
          <t>ผลการพิจารณา</t>
        </is>
      </c>
    </row>
    <row r="3">
      <c r="A3" s="10" t="n">
        <v>1</v>
      </c>
      <c r="B3" s="17" t="inlineStr">
        <is>
          <t>ระบบตอบคำถามเกี่ยวกับหลักสูตรได้ตรงกับสิ่งที่ท่านถาม</t>
        </is>
      </c>
      <c r="C3" s="11" t="n"/>
      <c r="D3" s="11" t="n"/>
      <c r="E3" s="11" t="n"/>
      <c r="F3" s="12">
        <f>IF(COUNT(C3:E3)=0,"",SUM(C3:E3))</f>
        <v/>
      </c>
      <c r="G3" s="18">
        <f>IF(COUNT(C3:E3)=0,"",AVERAGE(C3:E3))</f>
        <v/>
      </c>
      <c r="H3" s="12">
        <f>IF(G3="","",IF(G3&gt;=0.5,"ผ่านเกณฑ์","ต้องปรับปรุง"))</f>
        <v/>
      </c>
    </row>
    <row r="4">
      <c r="A4" s="10" t="n">
        <v>2</v>
      </c>
      <c r="B4" s="17" t="inlineStr">
        <is>
          <t>ข้อมูลที่ระบบตอบมีความถูกต้องและน่าเชื่อถือ</t>
        </is>
      </c>
      <c r="C4" s="11" t="n"/>
      <c r="D4" s="11" t="n"/>
      <c r="E4" s="11" t="n"/>
      <c r="F4" s="12">
        <f>IF(COUNT(C4:E4)=0,"",SUM(C4:E4))</f>
        <v/>
      </c>
      <c r="G4" s="18">
        <f>IF(COUNT(C4:E4)=0,"",AVERAGE(C4:E4))</f>
        <v/>
      </c>
      <c r="H4" s="12">
        <f>IF(G4="","",IF(G4&gt;=0.5,"ผ่านเกณฑ์","ต้องปรับปรุง"))</f>
        <v/>
      </c>
    </row>
    <row r="5">
      <c r="A5" s="10" t="n">
        <v>3</v>
      </c>
      <c r="B5" s="17" t="inlineStr">
        <is>
          <t>ระบบแสดงที่มาของคำตอบ (ชื่อเอกสารและเลขหน้า) ทำให้มั่นใจในข้อมูลมากขึ้น</t>
        </is>
      </c>
      <c r="C5" s="11" t="n"/>
      <c r="D5" s="11" t="n"/>
      <c r="E5" s="11" t="n"/>
      <c r="F5" s="12">
        <f>IF(COUNT(C5:E5)=0,"",SUM(C5:E5))</f>
        <v/>
      </c>
      <c r="G5" s="18">
        <f>IF(COUNT(C5:E5)=0,"",AVERAGE(C5:E5))</f>
        <v/>
      </c>
      <c r="H5" s="12">
        <f>IF(G5="","",IF(G5&gt;=0.5,"ผ่านเกณฑ์","ต้องปรับปรุง"))</f>
        <v/>
      </c>
    </row>
    <row r="6">
      <c r="A6" s="10" t="n">
        <v>4</v>
      </c>
      <c r="B6" s="17" t="inlineStr">
        <is>
          <t>ระบบสนทนาต่อเนื่องได้ โดยจดจำเรื่องที่สนทนาก่อนหน้า</t>
        </is>
      </c>
      <c r="C6" s="11" t="n"/>
      <c r="D6" s="11" t="n"/>
      <c r="E6" s="11" t="n"/>
      <c r="F6" s="12">
        <f>IF(COUNT(C6:E6)=0,"",SUM(C6:E6))</f>
        <v/>
      </c>
      <c r="G6" s="18">
        <f>IF(COUNT(C6:E6)=0,"",AVERAGE(C6:E6))</f>
        <v/>
      </c>
      <c r="H6" s="12">
        <f>IF(G6="","",IF(G6&gt;=0.5,"ผ่านเกณฑ์","ต้องปรับปรุง"))</f>
        <v/>
      </c>
    </row>
    <row r="7">
      <c r="A7" s="10" t="n">
        <v>5</v>
      </c>
      <c r="B7" s="17" t="inlineStr">
        <is>
          <t>ผลการแนะนำสาขาสอดคล้องกับความสนใจและความถนัดที่ระบุ</t>
        </is>
      </c>
      <c r="C7" s="11" t="n"/>
      <c r="D7" s="11" t="n"/>
      <c r="E7" s="11" t="n"/>
      <c r="F7" s="12">
        <f>IF(COUNT(C7:E7)=0,"",SUM(C7:E7))</f>
        <v/>
      </c>
      <c r="G7" s="18">
        <f>IF(COUNT(C7:E7)=0,"",AVERAGE(C7:E7))</f>
        <v/>
      </c>
      <c r="H7" s="12">
        <f>IF(G7="","",IF(G7&gt;=0.5,"ผ่านเกณฑ์","ต้องปรับปรุง"))</f>
        <v/>
      </c>
    </row>
    <row r="8">
      <c r="A8" s="10" t="n">
        <v>6</v>
      </c>
      <c r="B8" s="17" t="inlineStr">
        <is>
          <t>ฟังก์ชันเปรียบเทียบสาขาช่วยให้เห็นความแตกต่างได้ชัดเจน</t>
        </is>
      </c>
      <c r="C8" s="11" t="n"/>
      <c r="D8" s="11" t="n"/>
      <c r="E8" s="11" t="n"/>
      <c r="F8" s="12">
        <f>IF(COUNT(C8:E8)=0,"",SUM(C8:E8))</f>
        <v/>
      </c>
      <c r="G8" s="18">
        <f>IF(COUNT(C8:E8)=0,"",AVERAGE(C8:E8))</f>
        <v/>
      </c>
      <c r="H8" s="12">
        <f>IF(G8="","",IF(G8&gt;=0.5,"ผ่านเกณฑ์","ต้องปรับปรุง"))</f>
        <v/>
      </c>
    </row>
    <row r="9">
      <c r="A9" s="10" t="n">
        <v>7</v>
      </c>
      <c r="B9" s="17" t="inlineStr">
        <is>
          <t>หน้าจอของระบบใช้งานง่าย ไม่ซับซ้อน</t>
        </is>
      </c>
      <c r="C9" s="11" t="n"/>
      <c r="D9" s="11" t="n"/>
      <c r="E9" s="11" t="n"/>
      <c r="F9" s="12">
        <f>IF(COUNT(C9:E9)=0,"",SUM(C9:E9))</f>
        <v/>
      </c>
      <c r="G9" s="18">
        <f>IF(COUNT(C9:E9)=0,"",AVERAGE(C9:E9))</f>
        <v/>
      </c>
      <c r="H9" s="12">
        <f>IF(G9="","",IF(G9&gt;=0.5,"ผ่านเกณฑ์","ต้องปรับปรุง"))</f>
        <v/>
      </c>
    </row>
    <row r="10">
      <c r="A10" s="10" t="n">
        <v>8</v>
      </c>
      <c r="B10" s="17" t="inlineStr">
        <is>
          <t>การจัดวางเมนูและปุ่มเข้าใจง่าย หาสิ่งที่ต้องการได้รวดเร็ว</t>
        </is>
      </c>
      <c r="C10" s="11" t="n"/>
      <c r="D10" s="11" t="n"/>
      <c r="E10" s="11" t="n"/>
      <c r="F10" s="12">
        <f>IF(COUNT(C10:E10)=0,"",SUM(C10:E10))</f>
        <v/>
      </c>
      <c r="G10" s="18">
        <f>IF(COUNT(C10:E10)=0,"",AVERAGE(C10:E10))</f>
        <v/>
      </c>
      <c r="H10" s="12">
        <f>IF(G10="","",IF(G10&gt;=0.5,"ผ่านเกณฑ์","ต้องปรับปรุง"))</f>
        <v/>
      </c>
    </row>
    <row r="11">
      <c r="A11" s="10" t="n">
        <v>9</v>
      </c>
      <c r="B11" s="17" t="inlineStr">
        <is>
          <t>ขนาดตัวอักษร สี และภาพประกอบ อ่านง่ายและสบายตา</t>
        </is>
      </c>
      <c r="C11" s="11" t="n"/>
      <c r="D11" s="11" t="n"/>
      <c r="E11" s="11" t="n"/>
      <c r="F11" s="12">
        <f>IF(COUNT(C11:E11)=0,"",SUM(C11:E11))</f>
        <v/>
      </c>
      <c r="G11" s="18">
        <f>IF(COUNT(C11:E11)=0,"",AVERAGE(C11:E11))</f>
        <v/>
      </c>
      <c r="H11" s="12">
        <f>IF(G11="","",IF(G11&gt;=0.5,"ผ่านเกณฑ์","ต้องปรับปรุง"))</f>
        <v/>
      </c>
    </row>
    <row r="12">
      <c r="A12" s="10" t="n">
        <v>10</v>
      </c>
      <c r="B12" s="17" t="inlineStr">
        <is>
          <t>ระบบตอบสนองรวดเร็ว ไม่ต้องรอนาน</t>
        </is>
      </c>
      <c r="C12" s="11" t="n"/>
      <c r="D12" s="11" t="n"/>
      <c r="E12" s="11" t="n"/>
      <c r="F12" s="12">
        <f>IF(COUNT(C12:E12)=0,"",SUM(C12:E12))</f>
        <v/>
      </c>
      <c r="G12" s="18">
        <f>IF(COUNT(C12:E12)=0,"",AVERAGE(C12:E12))</f>
        <v/>
      </c>
      <c r="H12" s="12">
        <f>IF(G12="","",IF(G12&gt;=0.5,"ผ่านเกณฑ์","ต้องปรับปรุง"))</f>
        <v/>
      </c>
    </row>
    <row r="13">
      <c r="A13" s="10" t="n">
        <v>11</v>
      </c>
      <c r="B13" s="17" t="inlineStr">
        <is>
          <t>ใช้งานระบบได้ด้วยตนเองโดยไม่ต้องมีผู้แนะนำ</t>
        </is>
      </c>
      <c r="C13" s="11" t="n"/>
      <c r="D13" s="11" t="n"/>
      <c r="E13" s="11" t="n"/>
      <c r="F13" s="12">
        <f>IF(COUNT(C13:E13)=0,"",SUM(C13:E13))</f>
        <v/>
      </c>
      <c r="G13" s="18">
        <f>IF(COUNT(C13:E13)=0,"",AVERAGE(C13:E13))</f>
        <v/>
      </c>
      <c r="H13" s="12">
        <f>IF(G13="","",IF(G13&gt;=0.5,"ผ่านเกณฑ์","ต้องปรับปรุง"))</f>
        <v/>
      </c>
    </row>
    <row r="14">
      <c r="A14" s="10" t="n">
        <v>12</v>
      </c>
      <c r="B14" s="17" t="inlineStr">
        <is>
          <t>เข้าถึงข้อมูลหลักสูตรได้สะดวกกว่าการค้นหาด้วยวิธีเดิม</t>
        </is>
      </c>
      <c r="C14" s="11" t="n"/>
      <c r="D14" s="11" t="n"/>
      <c r="E14" s="11" t="n"/>
      <c r="F14" s="12">
        <f>IF(COUNT(C14:E14)=0,"",SUM(C14:E14))</f>
        <v/>
      </c>
      <c r="G14" s="18">
        <f>IF(COUNT(C14:E14)=0,"",AVERAGE(C14:E14))</f>
        <v/>
      </c>
      <c r="H14" s="12">
        <f>IF(G14="","",IF(G14&gt;=0.5,"ผ่านเกณฑ์","ต้องปรับปรุง"))</f>
        <v/>
      </c>
    </row>
    <row r="15">
      <c r="A15" s="10" t="n">
        <v>13</v>
      </c>
      <c r="B15" s="17" t="inlineStr">
        <is>
          <t>ช่วยลดเวลาในการหาข้อมูลเพื่อตัดสินใจเลือกสาขา</t>
        </is>
      </c>
      <c r="C15" s="11" t="n"/>
      <c r="D15" s="11" t="n"/>
      <c r="E15" s="11" t="n"/>
      <c r="F15" s="12">
        <f>IF(COUNT(C15:E15)=0,"",SUM(C15:E15))</f>
        <v/>
      </c>
      <c r="G15" s="18">
        <f>IF(COUNT(C15:E15)=0,"",AVERAGE(C15:E15))</f>
        <v/>
      </c>
      <c r="H15" s="12">
        <f>IF(G15="","",IF(G15&gt;=0.5,"ผ่านเกณฑ์","ต้องปรับปรุง"))</f>
        <v/>
      </c>
    </row>
    <row r="16">
      <c r="A16" s="10" t="n">
        <v>14</v>
      </c>
      <c r="B16" s="17" t="inlineStr">
        <is>
          <t>ข้อมูลที่ได้รับช่วยให้เข้าใจหลักสูตรของคณะมากขึ้น</t>
        </is>
      </c>
      <c r="C16" s="11" t="n"/>
      <c r="D16" s="11" t="n"/>
      <c r="E16" s="11" t="n"/>
      <c r="F16" s="12">
        <f>IF(COUNT(C16:E16)=0,"",SUM(C16:E16))</f>
        <v/>
      </c>
      <c r="G16" s="18">
        <f>IF(COUNT(C16:E16)=0,"",AVERAGE(C16:E16))</f>
        <v/>
      </c>
      <c r="H16" s="12">
        <f>IF(G16="","",IF(G16&gt;=0.5,"ผ่านเกณฑ์","ต้องปรับปรุง"))</f>
        <v/>
      </c>
    </row>
    <row r="17">
      <c r="A17" s="10" t="n">
        <v>15</v>
      </c>
      <c r="B17" s="17" t="inlineStr">
        <is>
          <t>จะแนะนำระบบนี้ให้ผู้อื่นที่กำลังเลือกสาขาใช้งาน</t>
        </is>
      </c>
      <c r="C17" s="11" t="n"/>
      <c r="D17" s="11" t="n"/>
      <c r="E17" s="11" t="n"/>
      <c r="F17" s="12">
        <f>IF(COUNT(C17:E17)=0,"",SUM(C17:E17))</f>
        <v/>
      </c>
      <c r="G17" s="18">
        <f>IF(COUNT(C17:E17)=0,"",AVERAGE(C17:E17))</f>
        <v/>
      </c>
      <c r="H17" s="12">
        <f>IF(G17="","",IF(G17&gt;=0.5,"ผ่านเกณฑ์","ต้องปรับปรุง"))</f>
        <v/>
      </c>
    </row>
    <row r="18">
      <c r="A18" s="10" t="n">
        <v>16</v>
      </c>
      <c r="B18" s="17" t="inlineStr">
        <is>
          <t>โดยภาพรวม พึงพอใจต่อระบบ SCI Advisor</t>
        </is>
      </c>
      <c r="C18" s="11" t="n"/>
      <c r="D18" s="11" t="n"/>
      <c r="E18" s="11" t="n"/>
      <c r="F18" s="12">
        <f>IF(COUNT(C18:E18)=0,"",SUM(C18:E18))</f>
        <v/>
      </c>
      <c r="G18" s="18">
        <f>IF(COUNT(C18:E18)=0,"",AVERAGE(C18:E18))</f>
        <v/>
      </c>
      <c r="H18" s="12">
        <f>IF(G18="","",IF(G18&gt;=0.5,"ผ่านเกณฑ์","ต้องปรับปรุง"))</f>
        <v/>
      </c>
    </row>
    <row r="19">
      <c r="B19" s="13" t="inlineStr">
        <is>
          <t>ค่าเฉลี่ยรวม</t>
        </is>
      </c>
      <c r="G19" s="20">
        <f>IF(COUNT(G3:G18)=0,"",AVERAGE(G3:G18))</f>
        <v/>
      </c>
    </row>
    <row r="20">
      <c r="B20" s="14" t="inlineStr">
        <is>
          <t>ค่าต่ำสุด</t>
        </is>
      </c>
      <c r="G20" s="18">
        <f>IF(COUNT(G3:G18)=0,"",MIN(G3:G18))</f>
        <v/>
      </c>
    </row>
    <row r="21">
      <c r="B21" s="14" t="inlineStr">
        <is>
          <t>ค่าสูงสุด</t>
        </is>
      </c>
      <c r="G21" s="18">
        <f>IF(COUNT(G3:G18)=0,"",MAX(G3:G18))</f>
        <v/>
      </c>
    </row>
    <row r="23">
      <c r="B23" s="14" t="inlineStr">
        <is>
          <t>กรอกคะแนน +1 / 0 / -1 ในช่องพื้นสีเหลือง  ·  เกณฑ์ผ่านคือ IOC ตั้งแต่ 0.50 ขึ้นไป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2026-09-22T18:33:28Z</dcterms:created>
  <dcterms:modified xsi:type="dcterms:W3CDTF">2026-09-22T18:33:29Z</dcterms:modified>
</cp:coreProperties>
</file>